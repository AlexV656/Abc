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-A013-10\Desktop\excel\Abc\"/>
    </mc:Choice>
  </mc:AlternateContent>
  <xr:revisionPtr revIDLastSave="0" documentId="13_ncr:1_{7FDE575C-7950-4B67-A4EF-FAF4389AE2D5}" xr6:coauthVersionLast="47" xr6:coauthVersionMax="47" xr10:uidLastSave="{00000000-0000-0000-0000-000000000000}"/>
  <bookViews>
    <workbookView xWindow="-120" yWindow="-120" windowWidth="29040" windowHeight="15840" xr2:uid="{CCE7F2BE-6330-48E9-8126-F82D41C807BC}"/>
  </bookViews>
  <sheets>
    <sheet name="Sheet1" sheetId="1" r:id="rId1"/>
  </sheets>
  <definedNames>
    <definedName name="Income">Sheet1!$A:$A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4" i="1" l="1"/>
  <c r="Q13" i="1"/>
  <c r="Q12" i="1"/>
  <c r="Q11" i="1"/>
  <c r="K12" i="1"/>
  <c r="K11" i="1"/>
  <c r="K13" i="1"/>
  <c r="K14" i="1"/>
  <c r="K15" i="1"/>
  <c r="K16" i="1"/>
  <c r="K17" i="1"/>
  <c r="B38" i="1"/>
  <c r="D45" i="1"/>
  <c r="B45" i="1" s="1"/>
  <c r="D43" i="1"/>
  <c r="D42" i="1"/>
  <c r="D41" i="1"/>
  <c r="R34" i="1"/>
  <c r="L34" i="1"/>
</calcChain>
</file>

<file path=xl/sharedStrings.xml><?xml version="1.0" encoding="utf-8"?>
<sst xmlns="http://schemas.openxmlformats.org/spreadsheetml/2006/main" count="65" uniqueCount="47">
  <si>
    <t>Actual</t>
  </si>
  <si>
    <t>Category</t>
  </si>
  <si>
    <t>Transportation</t>
  </si>
  <si>
    <t>Entertainment</t>
  </si>
  <si>
    <t>Income</t>
  </si>
  <si>
    <t>Planned</t>
  </si>
  <si>
    <t>Scholarship</t>
  </si>
  <si>
    <t>Salary</t>
  </si>
  <si>
    <t>Allowance</t>
  </si>
  <si>
    <t>Gifts</t>
  </si>
  <si>
    <t>Pension</t>
  </si>
  <si>
    <t>Other</t>
  </si>
  <si>
    <t>Sum</t>
  </si>
  <si>
    <t>Expences</t>
  </si>
  <si>
    <t>Accomodation</t>
  </si>
  <si>
    <t>Bills</t>
  </si>
  <si>
    <t>Due</t>
  </si>
  <si>
    <t>Rent</t>
  </si>
  <si>
    <t>Internet</t>
  </si>
  <si>
    <t>Mobile phone</t>
  </si>
  <si>
    <t>Water</t>
  </si>
  <si>
    <t>Gas</t>
  </si>
  <si>
    <t>Electricity</t>
  </si>
  <si>
    <t>Waste</t>
  </si>
  <si>
    <t>Subscriptions</t>
  </si>
  <si>
    <t>Netflix</t>
  </si>
  <si>
    <t>Spotify</t>
  </si>
  <si>
    <t>Education</t>
  </si>
  <si>
    <t>Groceries</t>
  </si>
  <si>
    <t>Clothing</t>
  </si>
  <si>
    <t>Health&amp;Beauty</t>
  </si>
  <si>
    <t>Electronics</t>
  </si>
  <si>
    <t>iCloud</t>
  </si>
  <si>
    <t>Gifts&amp;Donations</t>
  </si>
  <si>
    <t>Appliances&amp;Furniture</t>
  </si>
  <si>
    <t>Audible</t>
  </si>
  <si>
    <t>Aim</t>
  </si>
  <si>
    <t>Acutal</t>
  </si>
  <si>
    <t>Saving</t>
  </si>
  <si>
    <t>Investments</t>
  </si>
  <si>
    <t>Retirement</t>
  </si>
  <si>
    <t>Travel</t>
  </si>
  <si>
    <t>----</t>
  </si>
  <si>
    <t>Left</t>
  </si>
  <si>
    <t>Savings</t>
  </si>
  <si>
    <t>Balance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</si>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</sst>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[$€-2]\ * #,##0.00_);_([$€-2]\ * \(#,##0.00\);_([$€-2]\ * &quot;-&quot;??_);_(@_)"/>
    <numFmt numFmtId="168" formatCode="_ [$€-413]\ * #,##0.00_ ;_ [$€-413]\ * \-#,##0.00_ ;_ [$€-413]\ * &quot;-&quot;??_ ;_ @_ "/>
    <numFmt numFmtId="173" formatCode="[$-409]mmmm\-yy;@"/>
    <numFmt numFmtId="175" formatCode="[$€-2]\ #,##0.00"/>
    <numFmt numFmtId="176" formatCode="mmmm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5" borderId="1" xfId="0" applyNumberFormat="1" applyFill="1" applyBorder="1"/>
    <xf numFmtId="164" fontId="0" fillId="6" borderId="1" xfId="0" applyNumberFormat="1" applyFill="1" applyBorder="1"/>
    <xf numFmtId="164" fontId="0" fillId="7" borderId="1" xfId="0" applyNumberFormat="1" applyFill="1" applyBorder="1"/>
    <xf numFmtId="0" fontId="0" fillId="8" borderId="1" xfId="0" applyFill="1" applyBorder="1"/>
    <xf numFmtId="164" fontId="0" fillId="8" borderId="1" xfId="0" applyNumberFormat="1" applyFill="1" applyBorder="1"/>
    <xf numFmtId="0" fontId="0" fillId="9" borderId="1" xfId="0" applyFill="1" applyBorder="1"/>
    <xf numFmtId="164" fontId="0" fillId="9" borderId="1" xfId="0" applyNumberFormat="1" applyFill="1" applyBorder="1"/>
    <xf numFmtId="0" fontId="0" fillId="10" borderId="1" xfId="0" applyFill="1" applyBorder="1"/>
    <xf numFmtId="164" fontId="0" fillId="10" borderId="1" xfId="0" applyNumberFormat="1" applyFill="1" applyBorder="1"/>
    <xf numFmtId="0" fontId="0" fillId="7" borderId="1" xfId="0" applyFill="1" applyBorder="1"/>
    <xf numFmtId="164" fontId="0" fillId="7" borderId="1" xfId="0" quotePrefix="1" applyNumberFormat="1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8" fontId="0" fillId="4" borderId="1" xfId="0" applyNumberFormat="1" applyFill="1" applyBorder="1"/>
    <xf numFmtId="0" fontId="0" fillId="0" borderId="1" xfId="0" applyBorder="1"/>
    <xf numFmtId="0" fontId="1" fillId="11" borderId="1" xfId="0" applyFont="1" applyFill="1" applyBorder="1"/>
    <xf numFmtId="0" fontId="1" fillId="11" borderId="0" xfId="0" applyFont="1" applyFill="1"/>
    <xf numFmtId="175" fontId="0" fillId="9" borderId="1" xfId="0" applyNumberFormat="1" applyFill="1" applyBorder="1"/>
    <xf numFmtId="176" fontId="0" fillId="0" borderId="0" xfId="0" applyNumberFormat="1"/>
    <xf numFmtId="175" fontId="0" fillId="12" borderId="1" xfId="0" applyNumberFormat="1" applyFill="1" applyBorder="1"/>
    <xf numFmtId="164" fontId="0" fillId="12" borderId="1" xfId="0" applyNumberFormat="1" applyFill="1" applyBorder="1"/>
    <xf numFmtId="0" fontId="1" fillId="13" borderId="1" xfId="0" applyFont="1" applyFill="1" applyBorder="1"/>
    <xf numFmtId="164" fontId="0" fillId="13" borderId="1" xfId="0" applyNumberFormat="1" applyFill="1" applyBorder="1"/>
    <xf numFmtId="0" fontId="0" fillId="13" borderId="1" xfId="0" applyFill="1" applyBorder="1"/>
    <xf numFmtId="173" fontId="0" fillId="5" borderId="1" xfId="0" applyNumberFormat="1" applyFill="1" applyBorder="1"/>
    <xf numFmtId="173" fontId="0" fillId="4" borderId="1" xfId="0" applyNumberFormat="1" applyFill="1" applyBorder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</cellXfs>
  <cellStyles count="1">
    <cellStyle name="Normal" xfId="0" builtinId="0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Income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5056303574021733"/>
          <c:y val="0.27500018044631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40687115413251346"/>
          <c:y val="0.10441345433953697"/>
          <c:w val="0.23544864473114541"/>
          <c:h val="0.71796372569798272"/>
        </c:manualLayout>
      </c:layout>
      <c:doughnutChart>
        <c:varyColors val="1"/>
        <c:ser>
          <c:idx val="0"/>
          <c:order val="0"/>
          <c:tx>
            <c:strRef>
              <c:f>Sheet1!$B$10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FB-4E8A-8EA6-4A5BCF9A62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0FB-4E8A-8EA6-4A5BCF9A62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0FB-4E8A-8EA6-4A5BCF9A62B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0FB-4E8A-8EA6-4A5BCF9A62B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1477889032440207"/>
                  <c:y val="-5.8333371609823881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FB-4E8A-8EA6-4A5BCF9A62B3}"/>
                </c:ext>
              </c:extLst>
            </c:dLbl>
            <c:dLbl>
              <c:idx val="1"/>
              <c:layout>
                <c:manualLayout>
                  <c:x val="0.11751172104641154"/>
                  <c:y val="-3.8194028285758328E-17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FB-4E8A-8EA6-4A5BCF9A62B3}"/>
                </c:ext>
              </c:extLst>
            </c:dLbl>
            <c:dLbl>
              <c:idx val="2"/>
              <c:layout>
                <c:manualLayout>
                  <c:x val="0.31759599026350549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FB-4E8A-8EA6-4A5BCF9A62B3}"/>
                </c:ext>
              </c:extLst>
            </c:dLbl>
            <c:dLbl>
              <c:idx val="3"/>
              <c:layout>
                <c:manualLayout>
                  <c:x val="-0.16670267404258396"/>
                  <c:y val="-8.3333388014034133E-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FB-4E8A-8EA6-4A5BCF9A62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Sheet1!$A$11:$A$16</c:f>
              <c:strCache>
                <c:ptCount val="6"/>
                <c:pt idx="0">
                  <c:v>Scholarship</c:v>
                </c:pt>
                <c:pt idx="1">
                  <c:v>Salary</c:v>
                </c:pt>
                <c:pt idx="2">
                  <c:v>Allowance</c:v>
                </c:pt>
                <c:pt idx="3">
                  <c:v>Gifts</c:v>
                </c:pt>
                <c:pt idx="4">
                  <c:v>Pension</c:v>
                </c:pt>
                <c:pt idx="5">
                  <c:v>Other</c:v>
                </c:pt>
              </c:strCache>
            </c:strRef>
          </c:cat>
          <c:val>
            <c:numRef>
              <c:f>Sheet1!$B$11:$B$16</c:f>
              <c:numCache>
                <c:formatCode>_([$€-2]\ * #,##0.00_);_([$€-2]\ * \(#,##0.00\);_([$€-2]\ * "-"??_);_(@_)</c:formatCode>
                <c:ptCount val="6"/>
                <c:pt idx="0">
                  <c:v>230</c:v>
                </c:pt>
                <c:pt idx="1">
                  <c:v>200</c:v>
                </c:pt>
                <c:pt idx="2">
                  <c:v>1500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FB-4E8A-8EA6-4A5BCF9A62B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Expences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2120154180300029"/>
          <c:y val="0.2253722785357659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838000874890638"/>
          <c:y val="7.3501008503787435E-2"/>
          <c:w val="0.26850678040244969"/>
          <c:h val="0.64064805174811668"/>
        </c:manualLayout>
      </c:layout>
      <c:doughnutChart>
        <c:varyColors val="1"/>
        <c:ser>
          <c:idx val="0"/>
          <c:order val="0"/>
          <c:tx>
            <c:strRef>
              <c:f>Sheet1!$F$10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56-4058-9B50-44E081B03D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56-4058-9B50-44E081B03D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456-4058-9B50-44E081B03D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56-4058-9B50-44E081B03D5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456-4058-9B50-44E081B03D5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6-4058-9B50-44E081B03D5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56-4058-9B50-44E081B03D5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6-4058-9B50-44E081B03D5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56-4058-9B50-44E081B03D58}"/>
              </c:ext>
            </c:extLst>
          </c:dPt>
          <c:dLbls>
            <c:dLbl>
              <c:idx val="0"/>
              <c:layout>
                <c:manualLayout>
                  <c:x val="0.15277777777777768"/>
                  <c:y val="-2.6510733454927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56-4058-9B50-44E081B03D58}"/>
                </c:ext>
              </c:extLst>
            </c:dLbl>
            <c:dLbl>
              <c:idx val="1"/>
              <c:layout>
                <c:manualLayout>
                  <c:x val="6.6638142859672608E-2"/>
                  <c:y val="0.1458090340021031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56-4058-9B50-44E081B03D58}"/>
                </c:ext>
              </c:extLst>
            </c:dLbl>
            <c:dLbl>
              <c:idx val="2"/>
              <c:layout>
                <c:manualLayout>
                  <c:x val="-6.9462174655336772E-2"/>
                  <c:y val="5.3021466909855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56-4058-9B50-44E081B03D58}"/>
                </c:ext>
              </c:extLst>
            </c:dLbl>
            <c:dLbl>
              <c:idx val="3"/>
              <c:layout>
                <c:manualLayout>
                  <c:x val="-0.13611111111111113"/>
                  <c:y val="-3.31384168186598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56-4058-9B50-44E081B03D58}"/>
                </c:ext>
              </c:extLst>
            </c:dLbl>
            <c:dLbl>
              <c:idx val="4"/>
              <c:layout>
                <c:manualLayout>
                  <c:x val="-9.7222222222222224E-2"/>
                  <c:y val="-7.953220036478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56-4058-9B50-44E081B03D58}"/>
                </c:ext>
              </c:extLst>
            </c:dLbl>
            <c:dLbl>
              <c:idx val="5"/>
              <c:layout>
                <c:manualLayout>
                  <c:x val="0.28043551786778931"/>
                  <c:y val="0.3181288014591340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56-4058-9B50-44E081B03D58}"/>
                </c:ext>
              </c:extLst>
            </c:dLbl>
            <c:dLbl>
              <c:idx val="6"/>
              <c:layout>
                <c:manualLayout>
                  <c:x val="-0.29431846429688785"/>
                  <c:y val="2.6510733454927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456-4058-9B50-44E081B03D58}"/>
                </c:ext>
              </c:extLst>
            </c:dLbl>
            <c:dLbl>
              <c:idx val="7"/>
              <c:layout>
                <c:manualLayout>
                  <c:x val="0.31097800001180609"/>
                  <c:y val="0.225341234366886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56-4058-9B50-44E081B03D58}"/>
                </c:ext>
              </c:extLst>
            </c:dLbl>
            <c:dLbl>
              <c:idx val="8"/>
              <c:layout>
                <c:manualLayout>
                  <c:x val="0.14993582143426348"/>
                  <c:y val="-6.62768336373196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56-4058-9B50-44E081B03D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Sheet1!$E$11:$E$19</c:f>
              <c:strCache>
                <c:ptCount val="9"/>
                <c:pt idx="0">
                  <c:v>Accomodation</c:v>
                </c:pt>
                <c:pt idx="1">
                  <c:v>Education</c:v>
                </c:pt>
                <c:pt idx="2">
                  <c:v>Entertainment</c:v>
                </c:pt>
                <c:pt idx="3">
                  <c:v>Groceries</c:v>
                </c:pt>
                <c:pt idx="4">
                  <c:v>Clothing</c:v>
                </c:pt>
                <c:pt idx="5">
                  <c:v>Transportation</c:v>
                </c:pt>
                <c:pt idx="6">
                  <c:v>Health&amp;Beauty</c:v>
                </c:pt>
                <c:pt idx="7">
                  <c:v>Gifts&amp;Donations</c:v>
                </c:pt>
                <c:pt idx="8">
                  <c:v>Other</c:v>
                </c:pt>
              </c:strCache>
            </c:strRef>
          </c:cat>
          <c:val>
            <c:numRef>
              <c:f>Sheet1!$F$11:$F$19</c:f>
              <c:numCache>
                <c:formatCode>_([$€-2]\ * #,##0.00_);_([$€-2]\ * \(#,##0.00\);_([$€-2]\ * "-"??_);_(@_)</c:formatCode>
                <c:ptCount val="9"/>
                <c:pt idx="0">
                  <c:v>529</c:v>
                </c:pt>
                <c:pt idx="1">
                  <c:v>440</c:v>
                </c:pt>
                <c:pt idx="2">
                  <c:v>150</c:v>
                </c:pt>
                <c:pt idx="3">
                  <c:v>300</c:v>
                </c:pt>
                <c:pt idx="4">
                  <c:v>100</c:v>
                </c:pt>
                <c:pt idx="5">
                  <c:v>30</c:v>
                </c:pt>
                <c:pt idx="6">
                  <c:v>50</c:v>
                </c:pt>
                <c:pt idx="7">
                  <c:v>20</c:v>
                </c:pt>
                <c:pt idx="8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6-4058-9B50-44E081B03D5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24675890463061245"/>
          <c:w val="0.25452142985887743"/>
          <c:h val="0.72010240580915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 </a:t>
            </a:r>
            <a:r>
              <a:rPr lang="en-US"/>
              <a:t>Planned </a:t>
            </a:r>
          </a:p>
          <a:p>
            <a:pPr>
              <a:defRPr/>
            </a:pPr>
            <a:r>
              <a:rPr lang="en-US"/>
              <a:t>Bills</a:t>
            </a:r>
          </a:p>
        </c:rich>
      </c:tx>
      <c:layout>
        <c:manualLayout>
          <c:xMode val="edge"/>
          <c:yMode val="edge"/>
          <c:x val="0.42205224000359481"/>
          <c:y val="0.191395947018585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32386176727909005"/>
          <c:y val="1.0092592592592591E-2"/>
          <c:w val="0.37727646544181981"/>
          <c:h val="0.6287941090696996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23-4BA8-88FD-78A4519FD9E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23-4BA8-88FD-78A4519FD9E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E23-4BA8-88FD-78A4519FD9E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0E23-4BA8-88FD-78A4519FD9E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23-4BA8-88FD-78A4519FD9E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0E23-4BA8-88FD-78A4519FD9E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23-4BA8-88FD-78A4519FD9EB}"/>
              </c:ext>
            </c:extLst>
          </c:dPt>
          <c:dLbls>
            <c:dLbl>
              <c:idx val="0"/>
              <c:layout>
                <c:manualLayout>
                  <c:x val="0.18047049127106538"/>
                  <c:y val="-9.25925925925934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3-4BA8-88FD-78A4519FD9EB}"/>
                </c:ext>
              </c:extLst>
            </c:dLbl>
            <c:dLbl>
              <c:idx val="1"/>
              <c:layout>
                <c:manualLayout>
                  <c:x val="-0.12216464024502889"/>
                  <c:y val="8.79629629629629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3-4BA8-88FD-78A4519FD9EB}"/>
                </c:ext>
              </c:extLst>
            </c:dLbl>
            <c:dLbl>
              <c:idx val="2"/>
              <c:layout>
                <c:manualLayout>
                  <c:x val="-0.12494110934150682"/>
                  <c:y val="-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23-4BA8-88FD-78A4519FD9EB}"/>
                </c:ext>
              </c:extLst>
            </c:dLbl>
            <c:dLbl>
              <c:idx val="3"/>
              <c:layout>
                <c:manualLayout>
                  <c:x val="-0.12771757843798476"/>
                  <c:y val="-6.01851851851851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23-4BA8-88FD-78A4519FD9EB}"/>
                </c:ext>
              </c:extLst>
            </c:dLbl>
            <c:dLbl>
              <c:idx val="4"/>
              <c:layout>
                <c:manualLayout>
                  <c:x val="-9.439994928024957E-2"/>
                  <c:y val="-4.62962962962962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3-4BA8-88FD-78A4519FD9EB}"/>
                </c:ext>
              </c:extLst>
            </c:dLbl>
            <c:dLbl>
              <c:idx val="5"/>
              <c:layout>
                <c:manualLayout>
                  <c:x val="0.30541160061257228"/>
                  <c:y val="3.7037037037037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23-4BA8-88FD-78A4519FD9EB}"/>
                </c:ext>
              </c:extLst>
            </c:dLbl>
            <c:dLbl>
              <c:idx val="6"/>
              <c:layout>
                <c:manualLayout>
                  <c:x val="0.2800300569090286"/>
                  <c:y val="0.1620370370370370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3-4BA8-88FD-78A4519FD9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Sheet1!$J$11:$K$17</c:f>
              <c:multiLvlStrCache>
                <c:ptCount val="7"/>
                <c:lvl>
                  <c:pt idx="0">
                    <c:v>December-25</c:v>
                  </c:pt>
                  <c:pt idx="1">
                    <c:v>December-25</c:v>
                  </c:pt>
                  <c:pt idx="2">
                    <c:v>December-25</c:v>
                  </c:pt>
                  <c:pt idx="3">
                    <c:v>December-25</c:v>
                  </c:pt>
                  <c:pt idx="4">
                    <c:v>December-25</c:v>
                  </c:pt>
                  <c:pt idx="5">
                    <c:v>December-25</c:v>
                  </c:pt>
                  <c:pt idx="6">
                    <c:v>December-25</c:v>
                  </c:pt>
                </c:lvl>
                <c:lvl>
                  <c:pt idx="0">
                    <c:v>Rent</c:v>
                  </c:pt>
                  <c:pt idx="1">
                    <c:v>Internet</c:v>
                  </c:pt>
                  <c:pt idx="2">
                    <c:v>Mobile phone</c:v>
                  </c:pt>
                  <c:pt idx="3">
                    <c:v>Water</c:v>
                  </c:pt>
                  <c:pt idx="4">
                    <c:v>Gas</c:v>
                  </c:pt>
                  <c:pt idx="5">
                    <c:v>Electricity</c:v>
                  </c:pt>
                  <c:pt idx="6">
                    <c:v>Waste</c:v>
                  </c:pt>
                </c:lvl>
              </c:multiLvlStrCache>
            </c:multiLvlStrRef>
          </c:cat>
          <c:val>
            <c:numRef>
              <c:f>Sheet1!$L$11:$L$17</c:f>
              <c:numCache>
                <c:formatCode>_([$€-2]\ * #,##0.00_);_([$€-2]\ * \(#,##0.00\);_([$€-2]\ * "-"??_);_(@_)</c:formatCode>
                <c:ptCount val="7"/>
                <c:pt idx="0" formatCode="_ [$€-413]\ * #,##0.00_ ;_ [$€-413]\ * \-#,##0.00_ ;_ [$€-413]\ * &quot;-&quot;??_ ;_ @_ ">
                  <c:v>400</c:v>
                </c:pt>
                <c:pt idx="1">
                  <c:v>12</c:v>
                </c:pt>
                <c:pt idx="2">
                  <c:v>10</c:v>
                </c:pt>
                <c:pt idx="3">
                  <c:v>20</c:v>
                </c:pt>
                <c:pt idx="4">
                  <c:v>45</c:v>
                </c:pt>
                <c:pt idx="5">
                  <c:v>35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3-4BA8-88FD-78A4519FD9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3462169547711903E-4"/>
          <c:y val="0.44364938323911596"/>
          <c:w val="0.50528038379831908"/>
          <c:h val="0.548046934764443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Planned</a:t>
            </a:r>
          </a:p>
          <a:p>
            <a:pPr>
              <a:defRPr/>
            </a:pPr>
            <a:r>
              <a:rPr lang="en-US"/>
              <a:t>Subscriptions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374840431153536"/>
          <c:y val="0.282407480314960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9422834645669294"/>
          <c:y val="0.12745188101487315"/>
          <c:w val="0.41709908136482943"/>
          <c:h val="0.69516513560804905"/>
        </c:manualLayout>
      </c:layout>
      <c:doughnutChart>
        <c:varyColors val="1"/>
        <c:ser>
          <c:idx val="1"/>
          <c:order val="0"/>
          <c:tx>
            <c:strRef>
              <c:f>Sheet1!$R$10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225-481B-B1D3-8090333BE9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25-481B-B1D3-8090333BE9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225-481B-B1D3-8090333BE9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25-481B-B1D3-8090333BE91F}"/>
              </c:ext>
            </c:extLst>
          </c:dPt>
          <c:dLbls>
            <c:dLbl>
              <c:idx val="0"/>
              <c:layout>
                <c:manualLayout>
                  <c:x val="0.14166666666666655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25-481B-B1D3-8090333BE91F}"/>
                </c:ext>
              </c:extLst>
            </c:dLbl>
            <c:dLbl>
              <c:idx val="1"/>
              <c:layout>
                <c:manualLayout>
                  <c:x val="6.9444444444444337E-2"/>
                  <c:y val="7.8703703703703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225-481B-B1D3-8090333BE91F}"/>
                </c:ext>
              </c:extLst>
            </c:dLbl>
            <c:dLbl>
              <c:idx val="2"/>
              <c:layout>
                <c:manualLayout>
                  <c:x val="-0.11388888888888891"/>
                  <c:y val="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225-481B-B1D3-8090333BE91F}"/>
                </c:ext>
              </c:extLst>
            </c:dLbl>
            <c:dLbl>
              <c:idx val="3"/>
              <c:layout>
                <c:manualLayout>
                  <c:x val="-4.166666666666672E-2"/>
                  <c:y val="-7.40740740740740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225-481B-B1D3-8090333BE9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Sheet1!$P$11:$P$14</c:f>
              <c:strCache>
                <c:ptCount val="4"/>
                <c:pt idx="0">
                  <c:v>Netflix</c:v>
                </c:pt>
                <c:pt idx="1">
                  <c:v>Spotify</c:v>
                </c:pt>
                <c:pt idx="2">
                  <c:v>iCloud</c:v>
                </c:pt>
                <c:pt idx="3">
                  <c:v>Audible</c:v>
                </c:pt>
              </c:strCache>
            </c:strRef>
          </c:cat>
          <c:val>
            <c:numRef>
              <c:f>Sheet1!$R$11:$R$14</c:f>
              <c:numCache>
                <c:formatCode>_([$€-2]\ * #,##0.00_);_([$€-2]\ * \(#,##0.00\);_([$€-2]\ * "-"??_);_(@_)</c:formatCode>
                <c:ptCount val="4"/>
                <c:pt idx="0">
                  <c:v>10</c:v>
                </c:pt>
                <c:pt idx="1">
                  <c:v>2.5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25-481B-B1D3-8090333BE91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1990247517441305E-3"/>
          <c:y val="0.36770734908136482"/>
          <c:w val="0.15850083437316775"/>
          <c:h val="0.582292650918635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Planned </a:t>
            </a:r>
          </a:p>
          <a:p>
            <a:pPr>
              <a:defRPr/>
            </a:pPr>
            <a:r>
              <a:rPr lang="en-US"/>
              <a:t>Saving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7063434429375958"/>
          <c:y val="0.31613406517445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>
        <c:manualLayout>
          <c:layoutTarget val="inner"/>
          <c:xMode val="edge"/>
          <c:yMode val="edge"/>
          <c:x val="0.26922834645669291"/>
          <c:y val="0.13671114027413242"/>
          <c:w val="0.40321019247594059"/>
          <c:h val="0.67201698745990102"/>
        </c:manualLayout>
      </c:layout>
      <c:doughnutChart>
        <c:varyColors val="1"/>
        <c:ser>
          <c:idx val="0"/>
          <c:order val="0"/>
          <c:tx>
            <c:strRef>
              <c:f>Sheet1!$V$10</c:f>
              <c:strCache>
                <c:ptCount val="1"/>
                <c:pt idx="0">
                  <c:v> Planned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4C-405F-A42D-E86B7363BFF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4C-405F-A42D-E86B7363BFF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FE4C-405F-A42D-E86B7363BFF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4C-405F-A42D-E86B7363BFF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4C-405F-A42D-E86B7363BFF4}"/>
              </c:ext>
            </c:extLst>
          </c:dPt>
          <c:dLbls>
            <c:dLbl>
              <c:idx val="0"/>
              <c:layout>
                <c:manualLayout>
                  <c:x val="0.12222222222222212"/>
                  <c:y val="-4.16666666666667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E4C-405F-A42D-E86B7363BFF4}"/>
                </c:ext>
              </c:extLst>
            </c:dLbl>
            <c:dLbl>
              <c:idx val="1"/>
              <c:layout>
                <c:manualLayout>
                  <c:x val="0.10555555555555556"/>
                  <c:y val="4.1666666666666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E4C-405F-A42D-E86B7363BFF4}"/>
                </c:ext>
              </c:extLst>
            </c:dLbl>
            <c:dLbl>
              <c:idx val="2"/>
              <c:layout>
                <c:manualLayout>
                  <c:x val="0.10277777777777777"/>
                  <c:y val="2.77777777777777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E4C-405F-A42D-E86B7363BFF4}"/>
                </c:ext>
              </c:extLst>
            </c:dLbl>
            <c:dLbl>
              <c:idx val="3"/>
              <c:layout>
                <c:manualLayout>
                  <c:x val="-8.3333333333333384E-2"/>
                  <c:y val="9.25925925925925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E4C-405F-A42D-E86B7363BFF4}"/>
                </c:ext>
              </c:extLst>
            </c:dLbl>
            <c:dLbl>
              <c:idx val="4"/>
              <c:layout>
                <c:manualLayout>
                  <c:x val="-6.9444444444444489E-2"/>
                  <c:y val="-6.94444444444444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E4C-405F-A42D-E86B7363BF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Sheet1!$U$11:$U$15</c:f>
              <c:strCache>
                <c:ptCount val="5"/>
                <c:pt idx="0">
                  <c:v> Investments </c:v>
                </c:pt>
                <c:pt idx="1">
                  <c:v> Retirement </c:v>
                </c:pt>
                <c:pt idx="2">
                  <c:v> Travel </c:v>
                </c:pt>
                <c:pt idx="3">
                  <c:v> Appliances&amp;Furniture </c:v>
                </c:pt>
                <c:pt idx="4">
                  <c:v> Electronics </c:v>
                </c:pt>
              </c:strCache>
            </c:strRef>
          </c:cat>
          <c:val>
            <c:numRef>
              <c:f>Sheet1!$V$11:$V$15</c:f>
              <c:numCache>
                <c:formatCode>_([$€-2]\ * #,##0.00_);_([$€-2]\ * \(#,##0.00\);_([$€-2]\ * "-"??_);_(@_)</c:formatCode>
                <c:ptCount val="5"/>
                <c:pt idx="0">
                  <c:v>80</c:v>
                </c:pt>
                <c:pt idx="1">
                  <c:v>10</c:v>
                </c:pt>
                <c:pt idx="2">
                  <c:v>80</c:v>
                </c:pt>
                <c:pt idx="3">
                  <c:v>30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4C-405F-A42D-E86B7363BF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27707146819254802"/>
          <c:w val="0.37257388935613628"/>
          <c:h val="0.6150601508327948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Sheet1!$B$40</c:f>
              <c:strCache>
                <c:ptCount val="1"/>
                <c:pt idx="0">
                  <c:v>Planned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Sheet1!$B$41:$B$43</c:f>
              <c:numCache>
                <c:formatCode>_([$€-2]\ * #,##0.00_);_([$€-2]\ * \(#,##0.00\);_([$€-2]\ * "-"??_);_(@_)</c:formatCode>
                <c:ptCount val="3"/>
                <c:pt idx="0">
                  <c:v>2030</c:v>
                </c:pt>
                <c:pt idx="1">
                  <c:v>1650</c:v>
                </c:pt>
                <c:pt idx="2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88-4A5D-ADE1-84FA827F1772}"/>
            </c:ext>
          </c:extLst>
        </c:ser>
        <c:ser>
          <c:idx val="1"/>
          <c:order val="1"/>
          <c:tx>
            <c:strRef>
              <c:f>Sheet1!$C$40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Sheet1!$A$41:$A$43</c:f>
              <c:strCache>
                <c:ptCount val="3"/>
                <c:pt idx="0">
                  <c:v>Income</c:v>
                </c:pt>
                <c:pt idx="1">
                  <c:v>Expences</c:v>
                </c:pt>
                <c:pt idx="2">
                  <c:v>Savings</c:v>
                </c:pt>
              </c:strCache>
            </c:strRef>
          </c:cat>
          <c:val>
            <c:numRef>
              <c:f>Sheet1!$C$41:$C$43</c:f>
              <c:numCache>
                <c:formatCode>_([$€-2]\ * #,##0.00_);_([$€-2]\ * \(#,##0.00\);_([$€-2]\ * "-"??_);_(@_)</c:formatCode>
                <c:ptCount val="3"/>
              </c:numCache>
            </c:numRef>
          </c:val>
          <c:extLst>
            <c:ext xmlns:c16="http://schemas.microsoft.com/office/drawing/2014/chart" uri="{C3380CC4-5D6E-409C-BE32-E72D297353CC}">
              <c16:uniqueId val="{00000001-0188-4A5D-ADE1-84FA827F1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018612271"/>
        <c:axId val="2018616591"/>
      </c:barChart>
      <c:catAx>
        <c:axId val="201861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616591"/>
        <c:crosses val="autoZero"/>
        <c:auto val="1"/>
        <c:lblAlgn val="ctr"/>
        <c:lblOffset val="100"/>
        <c:noMultiLvlLbl val="0"/>
      </c:catAx>
      <c:valAx>
        <c:axId val="201861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[$€-2]\ * #,##0.00_);_([$€-2]\ * \(#,##0.00\);_([$€-2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1861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16565</xdr:rowOff>
    </xdr:from>
    <xdr:to>
      <xdr:col>3</xdr:col>
      <xdr:colOff>26276</xdr:colOff>
      <xdr:row>8</xdr:row>
      <xdr:rowOff>25066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525C55C-81A6-3D16-A063-AD5907FD5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6919</xdr:colOff>
      <xdr:row>0</xdr:row>
      <xdr:rowOff>19707</xdr:rowOff>
    </xdr:from>
    <xdr:to>
      <xdr:col>6</xdr:col>
      <xdr:colOff>1243438</xdr:colOff>
      <xdr:row>7</xdr:row>
      <xdr:rowOff>177362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236FA8-9284-BB75-EE0D-7579A0DD3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402771</xdr:colOff>
      <xdr:row>0</xdr:row>
      <xdr:rowOff>1</xdr:rowOff>
    </xdr:from>
    <xdr:to>
      <xdr:col>13</xdr:col>
      <xdr:colOff>20899</xdr:colOff>
      <xdr:row>8</xdr:row>
      <xdr:rowOff>5443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739931-1AFB-70E4-A29A-7D9363C0E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356151</xdr:colOff>
      <xdr:row>0</xdr:row>
      <xdr:rowOff>0</xdr:rowOff>
    </xdr:from>
    <xdr:to>
      <xdr:col>19</xdr:col>
      <xdr:colOff>0</xdr:colOff>
      <xdr:row>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15B8FAC-33A1-7CC5-B559-E74803875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209085</xdr:colOff>
      <xdr:row>0</xdr:row>
      <xdr:rowOff>0</xdr:rowOff>
    </xdr:from>
    <xdr:to>
      <xdr:col>22</xdr:col>
      <xdr:colOff>597776</xdr:colOff>
      <xdr:row>8</xdr:row>
      <xdr:rowOff>6569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B5AA8CD-CE38-A20D-AB9B-8C0CE7BF73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95248</xdr:colOff>
      <xdr:row>35</xdr:row>
      <xdr:rowOff>57150</xdr:rowOff>
    </xdr:from>
    <xdr:to>
      <xdr:col>8</xdr:col>
      <xdr:colOff>95248</xdr:colOff>
      <xdr:row>49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BBDDEB8-73F3-631D-F73C-E441315059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E94D-F06B-4D5F-88DF-C672BA0F3D12}">
  <dimension ref="A9:W45"/>
  <sheetViews>
    <sheetView tabSelected="1" zoomScale="85" zoomScaleNormal="85" workbookViewId="0">
      <selection activeCell="Q14" sqref="Q14"/>
    </sheetView>
  </sheetViews>
  <sheetFormatPr defaultRowHeight="15" x14ac:dyDescent="0.25"/>
  <cols>
    <col min="1" max="1" width="23.7109375" customWidth="1"/>
    <col min="2" max="2" width="20.42578125" customWidth="1"/>
    <col min="3" max="3" width="22.28515625" customWidth="1"/>
    <col min="4" max="4" width="16.140625" customWidth="1"/>
    <col min="5" max="5" width="22.28515625" customWidth="1"/>
    <col min="6" max="6" width="18.28515625" customWidth="1"/>
    <col min="7" max="7" width="18.7109375" customWidth="1"/>
    <col min="10" max="10" width="17.28515625" customWidth="1"/>
    <col min="11" max="11" width="13.28515625" bestFit="1" customWidth="1"/>
    <col min="12" max="12" width="9.140625" customWidth="1"/>
    <col min="13" max="13" width="6.140625" customWidth="1"/>
    <col min="14" max="14" width="11.140625" customWidth="1"/>
    <col min="15" max="15" width="5.85546875" customWidth="1"/>
    <col min="16" max="16" width="18.42578125" customWidth="1"/>
    <col min="17" max="17" width="13.28515625" bestFit="1" customWidth="1"/>
    <col min="20" max="20" width="14.28515625" customWidth="1"/>
    <col min="21" max="21" width="24.5703125" customWidth="1"/>
    <col min="22" max="22" width="9.42578125" bestFit="1" customWidth="1"/>
  </cols>
  <sheetData>
    <row r="9" spans="1:23" x14ac:dyDescent="0.25">
      <c r="A9" s="38" t="s">
        <v>4</v>
      </c>
      <c r="B9" s="39"/>
      <c r="C9" s="40"/>
      <c r="E9" s="19" t="s">
        <v>13</v>
      </c>
      <c r="F9" s="19"/>
      <c r="G9" s="19"/>
      <c r="J9" s="20" t="s">
        <v>15</v>
      </c>
      <c r="K9" s="20"/>
      <c r="L9" s="20"/>
      <c r="M9" s="20"/>
      <c r="P9" s="21" t="s">
        <v>24</v>
      </c>
      <c r="Q9" s="21"/>
      <c r="R9" s="21"/>
      <c r="S9" s="21"/>
      <c r="U9" s="22" t="s">
        <v>38</v>
      </c>
      <c r="V9" s="23"/>
      <c r="W9" s="24"/>
    </row>
    <row r="10" spans="1:23" x14ac:dyDescent="0.25">
      <c r="A10" s="1" t="s">
        <v>4</v>
      </c>
      <c r="B10" s="1" t="s">
        <v>5</v>
      </c>
      <c r="C10" s="1" t="s">
        <v>0</v>
      </c>
      <c r="E10" s="2" t="s">
        <v>1</v>
      </c>
      <c r="F10" s="2" t="s">
        <v>5</v>
      </c>
      <c r="G10" s="2" t="s">
        <v>0</v>
      </c>
      <c r="J10" s="3"/>
      <c r="K10" s="3" t="s">
        <v>16</v>
      </c>
      <c r="L10" s="3" t="s">
        <v>5</v>
      </c>
      <c r="M10" s="3" t="s">
        <v>0</v>
      </c>
      <c r="P10" s="4"/>
      <c r="Q10" s="4" t="s">
        <v>16</v>
      </c>
      <c r="R10" s="4" t="s">
        <v>5</v>
      </c>
      <c r="S10" s="4" t="s">
        <v>0</v>
      </c>
      <c r="U10" s="9" t="s">
        <v>36</v>
      </c>
      <c r="V10" s="9" t="s">
        <v>5</v>
      </c>
      <c r="W10" s="9" t="s">
        <v>37</v>
      </c>
    </row>
    <row r="11" spans="1:23" x14ac:dyDescent="0.25">
      <c r="A11" s="1" t="s">
        <v>6</v>
      </c>
      <c r="B11" s="5">
        <v>230</v>
      </c>
      <c r="C11" s="5"/>
      <c r="E11" s="2" t="s">
        <v>14</v>
      </c>
      <c r="F11" s="6">
        <v>529</v>
      </c>
      <c r="G11" s="6"/>
      <c r="J11" s="3" t="s">
        <v>17</v>
      </c>
      <c r="K11" s="37">
        <f>DATE(2025,$B$37,$C$37)</f>
        <v>46011</v>
      </c>
      <c r="L11" s="25">
        <v>400</v>
      </c>
      <c r="M11" s="7"/>
      <c r="P11" s="4" t="s">
        <v>25</v>
      </c>
      <c r="Q11" s="36">
        <f>DATE(2025,$B$37,$C$37)</f>
        <v>46011</v>
      </c>
      <c r="R11" s="8">
        <v>10</v>
      </c>
      <c r="S11" s="8"/>
      <c r="U11" s="9" t="s">
        <v>39</v>
      </c>
      <c r="V11" s="9">
        <v>80</v>
      </c>
      <c r="W11" s="9"/>
    </row>
    <row r="12" spans="1:23" x14ac:dyDescent="0.25">
      <c r="A12" s="1" t="s">
        <v>7</v>
      </c>
      <c r="B12" s="5">
        <v>200</v>
      </c>
      <c r="C12" s="5"/>
      <c r="E12" s="2" t="s">
        <v>27</v>
      </c>
      <c r="F12" s="6">
        <v>440</v>
      </c>
      <c r="G12" s="6"/>
      <c r="J12" s="3" t="s">
        <v>18</v>
      </c>
      <c r="K12" s="37">
        <f>DATE(2025,$B$37,$C$37)</f>
        <v>46011</v>
      </c>
      <c r="L12" s="7">
        <v>12</v>
      </c>
      <c r="M12" s="7"/>
      <c r="P12" s="4" t="s">
        <v>26</v>
      </c>
      <c r="Q12" s="36">
        <f>DATE(2025,$B$37,$C$37)</f>
        <v>46011</v>
      </c>
      <c r="R12" s="8">
        <v>2.5</v>
      </c>
      <c r="S12" s="8"/>
      <c r="U12" s="9" t="s">
        <v>40</v>
      </c>
      <c r="V12" s="9">
        <v>10</v>
      </c>
      <c r="W12" s="9"/>
    </row>
    <row r="13" spans="1:23" x14ac:dyDescent="0.25">
      <c r="A13" s="1" t="s">
        <v>8</v>
      </c>
      <c r="B13" s="5">
        <v>1500</v>
      </c>
      <c r="C13" s="5"/>
      <c r="E13" s="2" t="s">
        <v>3</v>
      </c>
      <c r="F13" s="6">
        <v>150</v>
      </c>
      <c r="G13" s="6"/>
      <c r="J13" s="3" t="s">
        <v>19</v>
      </c>
      <c r="K13" s="37">
        <f>DATE(2025,$B$37,$C$37)</f>
        <v>46011</v>
      </c>
      <c r="L13" s="7">
        <v>10</v>
      </c>
      <c r="M13" s="7"/>
      <c r="P13" s="4" t="s">
        <v>32</v>
      </c>
      <c r="Q13" s="36">
        <f>DATE(2025,$B$37,$C$37)</f>
        <v>46011</v>
      </c>
      <c r="R13" s="8">
        <v>8</v>
      </c>
      <c r="S13" s="8"/>
      <c r="U13" s="9" t="s">
        <v>41</v>
      </c>
      <c r="V13" s="9">
        <v>80</v>
      </c>
      <c r="W13" s="9"/>
    </row>
    <row r="14" spans="1:23" x14ac:dyDescent="0.25">
      <c r="A14" s="1" t="s">
        <v>9</v>
      </c>
      <c r="B14" s="5">
        <v>100</v>
      </c>
      <c r="C14" s="5"/>
      <c r="E14" s="2" t="s">
        <v>28</v>
      </c>
      <c r="F14" s="6">
        <v>300</v>
      </c>
      <c r="G14" s="6"/>
      <c r="J14" s="3" t="s">
        <v>20</v>
      </c>
      <c r="K14" s="37">
        <f>DATE(2025,$B$37,$C$37)</f>
        <v>46011</v>
      </c>
      <c r="L14" s="7">
        <v>20</v>
      </c>
      <c r="M14" s="7"/>
      <c r="P14" s="4" t="s">
        <v>35</v>
      </c>
      <c r="Q14" s="36">
        <f>DATE(2025,$B$37,$C$37)</f>
        <v>46011</v>
      </c>
      <c r="R14" s="8">
        <v>1</v>
      </c>
      <c r="S14" s="8"/>
      <c r="U14" s="9" t="s">
        <v>34</v>
      </c>
      <c r="V14" s="9">
        <v>30</v>
      </c>
      <c r="W14" s="9"/>
    </row>
    <row r="15" spans="1:23" x14ac:dyDescent="0.25">
      <c r="A15" s="1" t="s">
        <v>10</v>
      </c>
      <c r="B15" s="5"/>
      <c r="C15" s="5"/>
      <c r="E15" s="2" t="s">
        <v>29</v>
      </c>
      <c r="F15" s="6">
        <v>100</v>
      </c>
      <c r="G15" s="6"/>
      <c r="J15" s="3" t="s">
        <v>21</v>
      </c>
      <c r="K15" s="37">
        <f>DATE(2025,$B$37,$C$37)</f>
        <v>46011</v>
      </c>
      <c r="L15" s="7">
        <v>45</v>
      </c>
      <c r="M15" s="7"/>
      <c r="P15" s="4"/>
      <c r="Q15" s="8"/>
      <c r="R15" s="8"/>
      <c r="S15" s="8"/>
      <c r="U15" s="9" t="s">
        <v>31</v>
      </c>
      <c r="V15" s="9">
        <v>100</v>
      </c>
      <c r="W15" s="9"/>
    </row>
    <row r="16" spans="1:23" x14ac:dyDescent="0.25">
      <c r="A16" s="1" t="s">
        <v>11</v>
      </c>
      <c r="B16" s="5"/>
      <c r="C16" s="5"/>
      <c r="E16" s="2" t="s">
        <v>2</v>
      </c>
      <c r="F16" s="6">
        <v>30</v>
      </c>
      <c r="G16" s="6"/>
      <c r="J16" s="3" t="s">
        <v>22</v>
      </c>
      <c r="K16" s="37">
        <f>DATE(2025,$B$37,$C$37)</f>
        <v>46011</v>
      </c>
      <c r="L16" s="7">
        <v>35</v>
      </c>
      <c r="M16" s="7"/>
      <c r="P16" s="4"/>
      <c r="Q16" s="8"/>
      <c r="R16" s="8"/>
      <c r="S16" s="8"/>
      <c r="U16" s="9"/>
      <c r="V16" s="9"/>
      <c r="W16" s="9"/>
    </row>
    <row r="17" spans="1:23" x14ac:dyDescent="0.25">
      <c r="A17" s="1"/>
      <c r="B17" s="5"/>
      <c r="C17" s="5"/>
      <c r="E17" s="2" t="s">
        <v>30</v>
      </c>
      <c r="F17" s="6">
        <v>50</v>
      </c>
      <c r="G17" s="6"/>
      <c r="J17" s="3" t="s">
        <v>23</v>
      </c>
      <c r="K17" s="37">
        <f>DATE(2025,$B$37,$C$37)</f>
        <v>46011</v>
      </c>
      <c r="L17" s="7">
        <v>7</v>
      </c>
      <c r="M17" s="7"/>
      <c r="P17" s="4"/>
      <c r="Q17" s="8"/>
      <c r="R17" s="8"/>
      <c r="S17" s="8"/>
      <c r="U17" s="9"/>
      <c r="V17" s="9"/>
      <c r="W17" s="9"/>
    </row>
    <row r="18" spans="1:23" x14ac:dyDescent="0.25">
      <c r="A18" s="1"/>
      <c r="B18" s="5"/>
      <c r="C18" s="5"/>
      <c r="E18" s="2" t="s">
        <v>33</v>
      </c>
      <c r="F18" s="6">
        <v>20</v>
      </c>
      <c r="G18" s="6"/>
      <c r="J18" s="3"/>
      <c r="K18" s="7"/>
      <c r="L18" s="7"/>
      <c r="M18" s="7"/>
      <c r="P18" s="4"/>
      <c r="Q18" s="8"/>
      <c r="R18" s="8"/>
      <c r="S18" s="8"/>
      <c r="U18" s="9"/>
      <c r="V18" s="9"/>
      <c r="W18" s="9"/>
    </row>
    <row r="19" spans="1:23" x14ac:dyDescent="0.25">
      <c r="A19" s="1"/>
      <c r="B19" s="5"/>
      <c r="C19" s="5"/>
      <c r="E19" s="2" t="s">
        <v>11</v>
      </c>
      <c r="F19" s="6">
        <v>21</v>
      </c>
      <c r="G19" s="6"/>
      <c r="J19" s="3"/>
      <c r="K19" s="7"/>
      <c r="L19" s="7"/>
      <c r="M19" s="7"/>
      <c r="P19" s="4"/>
      <c r="Q19" s="8"/>
      <c r="R19" s="8"/>
      <c r="S19" s="8"/>
      <c r="U19" s="9"/>
      <c r="V19" s="9"/>
      <c r="W19" s="9"/>
    </row>
    <row r="20" spans="1:23" x14ac:dyDescent="0.25">
      <c r="A20" s="1"/>
      <c r="B20" s="5"/>
      <c r="C20" s="5"/>
      <c r="E20" s="2"/>
      <c r="F20" s="6"/>
      <c r="G20" s="6"/>
      <c r="J20" s="3"/>
      <c r="K20" s="7"/>
      <c r="L20" s="7"/>
      <c r="M20" s="7"/>
      <c r="P20" s="4"/>
      <c r="Q20" s="8"/>
      <c r="R20" s="8"/>
      <c r="S20" s="8"/>
      <c r="U20" s="9"/>
      <c r="V20" s="9"/>
      <c r="W20" s="9"/>
    </row>
    <row r="21" spans="1:23" x14ac:dyDescent="0.25">
      <c r="A21" s="1"/>
      <c r="B21" s="5"/>
      <c r="C21" s="5"/>
      <c r="E21" s="2"/>
      <c r="F21" s="6"/>
      <c r="G21" s="6"/>
      <c r="J21" s="3"/>
      <c r="K21" s="7"/>
      <c r="L21" s="7"/>
      <c r="M21" s="7"/>
      <c r="P21" s="4"/>
      <c r="Q21" s="8"/>
      <c r="R21" s="8"/>
      <c r="S21" s="8"/>
      <c r="U21" s="9"/>
      <c r="V21" s="9"/>
      <c r="W21" s="9"/>
    </row>
    <row r="22" spans="1:23" x14ac:dyDescent="0.25">
      <c r="A22" s="1"/>
      <c r="B22" s="5"/>
      <c r="C22" s="5"/>
      <c r="E22" s="2"/>
      <c r="F22" s="6"/>
      <c r="G22" s="6"/>
      <c r="J22" s="3"/>
      <c r="K22" s="7"/>
      <c r="L22" s="7"/>
      <c r="M22" s="7"/>
      <c r="P22" s="4"/>
      <c r="Q22" s="8"/>
      <c r="R22" s="8"/>
      <c r="S22" s="8"/>
      <c r="U22" s="9"/>
      <c r="V22" s="9"/>
      <c r="W22" s="9"/>
    </row>
    <row r="23" spans="1:23" x14ac:dyDescent="0.25">
      <c r="A23" s="1"/>
      <c r="B23" s="5"/>
      <c r="C23" s="5"/>
      <c r="E23" s="2"/>
      <c r="F23" s="6"/>
      <c r="G23" s="6"/>
      <c r="J23" s="3"/>
      <c r="K23" s="7"/>
      <c r="L23" s="7"/>
      <c r="M23" s="7"/>
      <c r="P23" s="4"/>
      <c r="Q23" s="8"/>
      <c r="R23" s="8"/>
      <c r="S23" s="8"/>
      <c r="U23" s="9"/>
      <c r="V23" s="9"/>
      <c r="W23" s="9"/>
    </row>
    <row r="24" spans="1:23" x14ac:dyDescent="0.25">
      <c r="A24" s="1"/>
      <c r="B24" s="5"/>
      <c r="C24" s="5"/>
      <c r="E24" s="2"/>
      <c r="F24" s="6"/>
      <c r="G24" s="6"/>
      <c r="J24" s="3"/>
      <c r="K24" s="7"/>
      <c r="L24" s="7"/>
      <c r="M24" s="7"/>
      <c r="P24" s="4"/>
      <c r="Q24" s="8"/>
      <c r="R24" s="8"/>
      <c r="S24" s="8"/>
      <c r="U24" s="9"/>
      <c r="V24" s="9"/>
      <c r="W24" s="9"/>
    </row>
    <row r="25" spans="1:23" x14ac:dyDescent="0.25">
      <c r="A25" s="1"/>
      <c r="B25" s="5"/>
      <c r="C25" s="5"/>
      <c r="E25" s="2"/>
      <c r="F25" s="6"/>
      <c r="G25" s="6"/>
      <c r="J25" s="3"/>
      <c r="K25" s="7"/>
      <c r="L25" s="7"/>
      <c r="M25" s="7"/>
      <c r="P25" s="4"/>
      <c r="Q25" s="8"/>
      <c r="R25" s="8"/>
      <c r="S25" s="8"/>
      <c r="U25" s="9"/>
      <c r="V25" s="9"/>
      <c r="W25" s="9"/>
    </row>
    <row r="26" spans="1:23" x14ac:dyDescent="0.25">
      <c r="A26" s="1"/>
      <c r="B26" s="5"/>
      <c r="C26" s="5"/>
      <c r="E26" s="2"/>
      <c r="F26" s="6"/>
      <c r="G26" s="6"/>
      <c r="J26" s="3"/>
      <c r="K26" s="7"/>
      <c r="L26" s="7"/>
      <c r="M26" s="7"/>
      <c r="P26" s="4"/>
      <c r="Q26" s="8"/>
      <c r="R26" s="8"/>
      <c r="S26" s="8"/>
      <c r="U26" s="9"/>
      <c r="V26" s="9"/>
      <c r="W26" s="9"/>
    </row>
    <row r="27" spans="1:23" x14ac:dyDescent="0.25">
      <c r="A27" s="1"/>
      <c r="B27" s="5"/>
      <c r="C27" s="5"/>
      <c r="E27" s="2"/>
      <c r="F27" s="6"/>
      <c r="G27" s="6"/>
      <c r="J27" s="3"/>
      <c r="K27" s="7"/>
      <c r="L27" s="7"/>
      <c r="M27" s="7"/>
      <c r="P27" s="4"/>
      <c r="Q27" s="8"/>
      <c r="R27" s="8"/>
      <c r="S27" s="8"/>
      <c r="U27" s="9"/>
      <c r="V27" s="9"/>
      <c r="W27" s="9"/>
    </row>
    <row r="28" spans="1:23" x14ac:dyDescent="0.25">
      <c r="A28" s="1"/>
      <c r="B28" s="5"/>
      <c r="C28" s="5"/>
      <c r="E28" s="2"/>
      <c r="F28" s="6"/>
      <c r="G28" s="6"/>
      <c r="J28" s="3"/>
      <c r="K28" s="7"/>
      <c r="L28" s="7"/>
      <c r="M28" s="7"/>
      <c r="P28" s="4"/>
      <c r="Q28" s="8"/>
      <c r="R28" s="8"/>
      <c r="S28" s="8"/>
      <c r="U28" s="9"/>
      <c r="V28" s="9"/>
      <c r="W28" s="9"/>
    </row>
    <row r="29" spans="1:23" x14ac:dyDescent="0.25">
      <c r="A29" s="1"/>
      <c r="B29" s="5"/>
      <c r="C29" s="5"/>
      <c r="E29" s="2"/>
      <c r="F29" s="6"/>
      <c r="G29" s="6"/>
      <c r="J29" s="3"/>
      <c r="K29" s="7"/>
      <c r="L29" s="7"/>
      <c r="M29" s="7"/>
      <c r="P29" s="4"/>
      <c r="Q29" s="8"/>
      <c r="R29" s="8"/>
      <c r="S29" s="8"/>
      <c r="U29" s="9"/>
      <c r="V29" s="9"/>
      <c r="W29" s="9"/>
    </row>
    <row r="30" spans="1:23" x14ac:dyDescent="0.25">
      <c r="A30" s="1"/>
      <c r="B30" s="5"/>
      <c r="C30" s="5"/>
      <c r="E30" s="2"/>
      <c r="F30" s="6"/>
      <c r="G30" s="6"/>
      <c r="J30" s="3"/>
      <c r="K30" s="7"/>
      <c r="L30" s="7"/>
      <c r="M30" s="7"/>
      <c r="P30" s="4"/>
      <c r="Q30" s="8"/>
      <c r="R30" s="8"/>
      <c r="S30" s="8"/>
      <c r="U30" s="9"/>
      <c r="V30" s="9"/>
      <c r="W30" s="9"/>
    </row>
    <row r="31" spans="1:23" x14ac:dyDescent="0.25">
      <c r="A31" s="1"/>
      <c r="B31" s="5"/>
      <c r="C31" s="5"/>
      <c r="E31" s="2"/>
      <c r="F31" s="6"/>
      <c r="G31" s="6"/>
      <c r="J31" s="3"/>
      <c r="K31" s="7"/>
      <c r="L31" s="7"/>
      <c r="M31" s="7"/>
      <c r="P31" s="4"/>
      <c r="Q31" s="8"/>
      <c r="R31" s="8"/>
      <c r="S31" s="8"/>
      <c r="U31" s="9"/>
      <c r="V31" s="9"/>
      <c r="W31" s="9"/>
    </row>
    <row r="32" spans="1:23" x14ac:dyDescent="0.25">
      <c r="A32" s="1"/>
      <c r="B32" s="5"/>
      <c r="C32" s="5"/>
      <c r="E32" s="2"/>
      <c r="F32" s="6"/>
      <c r="G32" s="6"/>
      <c r="J32" s="3"/>
      <c r="K32" s="7"/>
      <c r="L32" s="7"/>
      <c r="M32" s="7"/>
      <c r="P32" s="4"/>
      <c r="Q32" s="8"/>
      <c r="R32" s="8"/>
      <c r="S32" s="8"/>
      <c r="U32" s="9"/>
      <c r="V32" s="9"/>
      <c r="W32" s="9"/>
    </row>
    <row r="33" spans="1:23" x14ac:dyDescent="0.25">
      <c r="A33" s="1"/>
      <c r="B33" s="5"/>
      <c r="C33" s="5"/>
      <c r="E33" s="2"/>
      <c r="F33" s="6"/>
      <c r="G33" s="6"/>
      <c r="J33" s="3"/>
      <c r="K33" s="7"/>
      <c r="L33" s="7"/>
      <c r="M33" s="7"/>
      <c r="P33" s="4"/>
      <c r="Q33" s="8"/>
      <c r="R33" s="8"/>
      <c r="S33" s="8"/>
      <c r="U33" s="9"/>
      <c r="V33" s="9"/>
      <c r="W33" s="9"/>
    </row>
    <row r="34" spans="1:23" x14ac:dyDescent="0.25">
      <c r="A34" s="17" t="s">
        <v>12</v>
      </c>
      <c r="B34" s="10">
        <v>2030</v>
      </c>
      <c r="C34" s="18" t="s">
        <v>42</v>
      </c>
      <c r="E34" s="15" t="s">
        <v>12</v>
      </c>
      <c r="F34" s="16">
        <v>1650</v>
      </c>
      <c r="G34" s="16"/>
      <c r="J34" s="13" t="s">
        <v>12</v>
      </c>
      <c r="K34" s="14"/>
      <c r="L34" s="29">
        <f>SUM(L11:L17)</f>
        <v>529</v>
      </c>
      <c r="M34" s="14"/>
      <c r="P34" s="11" t="s">
        <v>12</v>
      </c>
      <c r="Q34" s="12"/>
      <c r="R34" s="12">
        <f>SUM(R11:R14)</f>
        <v>21.5</v>
      </c>
      <c r="S34" s="12"/>
      <c r="U34" s="10" t="s">
        <v>12</v>
      </c>
      <c r="V34" s="10">
        <v>300</v>
      </c>
      <c r="W34" s="10"/>
    </row>
    <row r="37" spans="1:23" x14ac:dyDescent="0.25">
      <c r="A37">
        <v>11</v>
      </c>
      <c r="B37">
        <v>12</v>
      </c>
      <c r="C37">
        <v>20</v>
      </c>
    </row>
    <row r="38" spans="1:23" x14ac:dyDescent="0.25">
      <c r="A38" s="28" t="s">
        <v>46</v>
      </c>
      <c r="B38" s="30">
        <f>DATE(2025,A37,1)</f>
        <v>45962</v>
      </c>
    </row>
    <row r="40" spans="1:23" x14ac:dyDescent="0.25">
      <c r="A40" s="26"/>
      <c r="B40" s="27" t="s">
        <v>5</v>
      </c>
      <c r="C40" s="27" t="s">
        <v>0</v>
      </c>
      <c r="D40" s="27" t="s">
        <v>43</v>
      </c>
    </row>
    <row r="41" spans="1:23" x14ac:dyDescent="0.25">
      <c r="A41" s="27" t="s">
        <v>4</v>
      </c>
      <c r="B41" s="32">
        <v>2030</v>
      </c>
      <c r="C41" s="32"/>
      <c r="D41" s="32">
        <f>B41-C41</f>
        <v>2030</v>
      </c>
    </row>
    <row r="42" spans="1:23" x14ac:dyDescent="0.25">
      <c r="A42" s="27" t="s">
        <v>13</v>
      </c>
      <c r="B42" s="32">
        <v>1650</v>
      </c>
      <c r="C42" s="32"/>
      <c r="D42" s="32">
        <f>B42-C42</f>
        <v>1650</v>
      </c>
    </row>
    <row r="43" spans="1:23" x14ac:dyDescent="0.25">
      <c r="A43" s="27" t="s">
        <v>44</v>
      </c>
      <c r="B43" s="32">
        <v>300</v>
      </c>
      <c r="C43" s="32"/>
      <c r="D43" s="32">
        <f>B43-C43</f>
        <v>300</v>
      </c>
    </row>
    <row r="44" spans="1:23" x14ac:dyDescent="0.25">
      <c r="A44" s="33"/>
      <c r="B44" s="34"/>
      <c r="C44" s="34"/>
      <c r="D44" s="35"/>
    </row>
    <row r="45" spans="1:23" x14ac:dyDescent="0.25">
      <c r="A45" s="27" t="s">
        <v>45</v>
      </c>
      <c r="B45" s="32">
        <f>D45</f>
        <v>80</v>
      </c>
      <c r="C45" s="31"/>
      <c r="D45" s="32">
        <f>B41-B42-B43</f>
        <v>80</v>
      </c>
    </row>
  </sheetData>
  <mergeCells count="5">
    <mergeCell ref="A9:C9"/>
    <mergeCell ref="E9:G9"/>
    <mergeCell ref="J9:M9"/>
    <mergeCell ref="P9:S9"/>
    <mergeCell ref="U9:W9"/>
  </mergeCells>
  <conditionalFormatting sqref="B45:D45">
    <cfRule type="cellIs" dxfId="4" priority="3" operator="lessThan">
      <formula>0</formula>
    </cfRule>
  </conditionalFormatting>
  <conditionalFormatting sqref="K11:K17">
    <cfRule type="cellIs" dxfId="3" priority="2" operator="lessThan">
      <formula>45986</formula>
    </cfRule>
  </conditionalFormatting>
  <conditionalFormatting sqref="Q11:Q14">
    <cfRule type="cellIs" dxfId="0" priority="1" operator="lessThan">
      <formula>46015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Income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en-A013-14</dc:creator>
  <cp:lastModifiedBy>en-A013-10</cp:lastModifiedBy>
  <dcterms:created xsi:type="dcterms:W3CDTF">2025-10-29T14:08:06Z</dcterms:created>
  <dcterms:modified xsi:type="dcterms:W3CDTF">2025-11-05T15:21:26Z</dcterms:modified>
</cp:coreProperties>
</file>